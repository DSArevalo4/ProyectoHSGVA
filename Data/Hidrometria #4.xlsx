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sala407\Desktop\Mecanica de Suelos-20250819T220222Z-1-001\"/>
    </mc:Choice>
  </mc:AlternateContent>
  <xr:revisionPtr revIDLastSave="0" documentId="13_ncr:1_{36602C62-758E-4042-B522-4C709ECB0E03}" xr6:coauthVersionLast="47" xr6:coauthVersionMax="47" xr10:uidLastSave="{00000000-0000-0000-0000-000000000000}"/>
  <bookViews>
    <workbookView xWindow="-120" yWindow="-120" windowWidth="29040" windowHeight="15720" xr2:uid="{6AE1790A-F00F-4B93-932D-4DB76337B8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" i="1" l="1"/>
  <c r="N11" i="1"/>
  <c r="N12" i="1"/>
  <c r="N13" i="1"/>
  <c r="N14" i="1"/>
  <c r="N15" i="1"/>
  <c r="N16" i="1"/>
  <c r="N17" i="1"/>
  <c r="N18" i="1"/>
  <c r="N19" i="1"/>
  <c r="N20" i="1"/>
  <c r="N21" i="1"/>
  <c r="N9" i="1"/>
  <c r="L10" i="1"/>
  <c r="L11" i="1"/>
  <c r="L12" i="1"/>
  <c r="L13" i="1"/>
  <c r="L14" i="1"/>
  <c r="L15" i="1"/>
  <c r="L16" i="1"/>
  <c r="L17" i="1"/>
  <c r="L18" i="1"/>
  <c r="L19" i="1"/>
  <c r="L20" i="1"/>
  <c r="L21" i="1"/>
  <c r="L9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I21" i="1"/>
  <c r="I20" i="1"/>
  <c r="H21" i="1"/>
  <c r="H20" i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</calcChain>
</file>

<file path=xl/sharedStrings.xml><?xml version="1.0" encoding="utf-8"?>
<sst xmlns="http://schemas.openxmlformats.org/spreadsheetml/2006/main" count="18" uniqueCount="18">
  <si>
    <t>Hora</t>
  </si>
  <si>
    <t>Fecha</t>
  </si>
  <si>
    <t>T (°C)</t>
  </si>
  <si>
    <t>%Mas fino</t>
  </si>
  <si>
    <t>L</t>
  </si>
  <si>
    <t>L/t</t>
  </si>
  <si>
    <t>K</t>
  </si>
  <si>
    <t>D(mm)</t>
  </si>
  <si>
    <t>t (min)</t>
  </si>
  <si>
    <t>Lr</t>
  </si>
  <si>
    <t>Lcr</t>
  </si>
  <si>
    <t>CC</t>
  </si>
  <si>
    <t>Lhcr</t>
  </si>
  <si>
    <t>Gs</t>
  </si>
  <si>
    <t>Cm</t>
  </si>
  <si>
    <t>Ws (g)</t>
  </si>
  <si>
    <t>Ct</t>
  </si>
  <si>
    <t>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</si>
</sst>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" fontId="0" fillId="3" borderId="1" xfId="0" applyNumberFormat="1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" fontId="0" fillId="4" borderId="1" xfId="0" applyNumberFormat="1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Border="1"/>
    <xf numFmtId="0" fontId="0" fillId="3" borderId="0" xfId="0" applyFill="1" applyBorder="1" applyAlignment="1">
      <alignment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101560</xdr:colOff>
      <xdr:row>0</xdr:row>
      <xdr:rowOff>0</xdr:rowOff>
    </xdr:from>
    <xdr:to>
      <xdr:col>26</xdr:col>
      <xdr:colOff>719952</xdr:colOff>
      <xdr:row>32</xdr:row>
      <xdr:rowOff>180092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80996B-DEBF-1F14-D2EB-609D05EAE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31310" y="0"/>
          <a:ext cx="6714392" cy="6476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5E1D-759E-46D6-898D-D5B74DBBDEB4}">
  <dimension ref="B2:P29"/>
  <sheetViews>
    <sheetView tabSelected="1" zoomScaleNormal="100" workbookViewId="0">
      <selection activeCell="K18" sqref="K18"/>
    </sheetView>
  </sheetViews>
  <sheetFormatPr baseColWidth="10" defaultRowHeight="14.25"/>
  <cols>
    <col min="3" max="3" width="6.125" customWidth="1"/>
    <col min="4" max="4" width="7" customWidth="1"/>
    <col min="5" max="5" width="6.25" customWidth="1"/>
    <col min="6" max="6" width="5.25" customWidth="1"/>
    <col min="7" max="7" width="4.625" customWidth="1"/>
    <col min="8" max="8" width="5.625" customWidth="1"/>
    <col min="9" max="9" width="7.75" customWidth="1"/>
    <col min="10" max="10" width="4.75" bestFit="1" customWidth="1"/>
    <col min="11" max="11" width="4.625" customWidth="1"/>
    <col min="12" max="12" width="5.875" customWidth="1"/>
    <col min="13" max="13" width="7.75" customWidth="1"/>
    <col min="14" max="14" width="8.375" customWidth="1"/>
  </cols>
  <sheetData>
    <row r="2" spans="3:16">
      <c r="E2" s="1"/>
      <c r="F2" s="1"/>
      <c r="H2" s="1"/>
      <c r="K2" s="1"/>
    </row>
    <row r="7" spans="3:16">
      <c r="P7" s="11"/>
    </row>
    <row r="8" spans="3:16" ht="28.5">
      <c r="C8" s="3" t="s">
        <v>1</v>
      </c>
      <c r="D8" s="3" t="s">
        <v>0</v>
      </c>
      <c r="E8" s="3" t="s">
        <v>8</v>
      </c>
      <c r="F8" s="3" t="s">
        <v>2</v>
      </c>
      <c r="G8" s="3" t="s">
        <v>9</v>
      </c>
      <c r="H8" s="3" t="s">
        <v>10</v>
      </c>
      <c r="I8" s="4" t="s">
        <v>3</v>
      </c>
      <c r="J8" s="3" t="s">
        <v>12</v>
      </c>
      <c r="K8" s="3" t="s">
        <v>4</v>
      </c>
      <c r="L8" s="3" t="s">
        <v>5</v>
      </c>
      <c r="M8" s="3" t="s">
        <v>6</v>
      </c>
      <c r="N8" s="3" t="s">
        <v>7</v>
      </c>
      <c r="O8" s="3" t="s">
        <v>16</v>
      </c>
      <c r="P8" s="13"/>
    </row>
    <row r="9" spans="3:16">
      <c r="C9" s="5">
        <v>45931</v>
      </c>
      <c r="D9" s="6">
        <v>0.38472222222222224</v>
      </c>
      <c r="E9" s="7">
        <v>1</v>
      </c>
      <c r="F9" s="7">
        <v>14</v>
      </c>
      <c r="G9" s="7">
        <v>65</v>
      </c>
      <c r="H9" s="7">
        <f>G9-O9</f>
        <v>66.099999999999994</v>
      </c>
      <c r="I9" s="7">
        <f>((H9*D28)/D24)*100</f>
        <v>18.04915048543689</v>
      </c>
      <c r="J9" s="7">
        <f>G9+D26</f>
        <v>66</v>
      </c>
      <c r="K9" s="7">
        <v>6.5</v>
      </c>
      <c r="L9" s="7">
        <f>K9/E9</f>
        <v>6.5</v>
      </c>
      <c r="M9" s="7">
        <v>1.41E-2</v>
      </c>
      <c r="N9" s="7">
        <f>M9*SQRT(L9)</f>
        <v>3.5948087570829131E-2</v>
      </c>
      <c r="O9" s="17">
        <v>-1.1000000000000001</v>
      </c>
      <c r="P9" s="12"/>
    </row>
    <row r="10" spans="3:16">
      <c r="C10" s="5">
        <v>45931</v>
      </c>
      <c r="D10" s="6">
        <v>0.38611111111111113</v>
      </c>
      <c r="E10" s="7">
        <v>2</v>
      </c>
      <c r="F10" s="7">
        <v>14</v>
      </c>
      <c r="G10" s="7">
        <v>64</v>
      </c>
      <c r="H10" s="7">
        <f>G10-O9</f>
        <v>65.099999999999994</v>
      </c>
      <c r="I10" s="7">
        <f>((H10*D28)/D24)*100</f>
        <v>17.776092233009706</v>
      </c>
      <c r="J10" s="7">
        <f>G10+D26</f>
        <v>65</v>
      </c>
      <c r="K10" s="7">
        <v>6.5</v>
      </c>
      <c r="L10" s="7">
        <f t="shared" ref="L10:L21" si="0">K10/E10</f>
        <v>3.25</v>
      </c>
      <c r="M10" s="7">
        <v>1.41E-2</v>
      </c>
      <c r="N10" s="7">
        <f t="shared" ref="N10:N21" si="1">M10*SQRT(L10)</f>
        <v>2.5419136492021124E-2</v>
      </c>
      <c r="O10" s="17">
        <v>-1.1000000000000001</v>
      </c>
      <c r="P10" s="12"/>
    </row>
    <row r="11" spans="3:16">
      <c r="C11" s="5">
        <v>45931</v>
      </c>
      <c r="D11" s="6">
        <v>0.3888888888888889</v>
      </c>
      <c r="E11" s="7">
        <v>4</v>
      </c>
      <c r="F11" s="7">
        <v>14</v>
      </c>
      <c r="G11" s="7">
        <v>61</v>
      </c>
      <c r="H11" s="7">
        <f>G11-O9</f>
        <v>62.1</v>
      </c>
      <c r="I11" s="7">
        <f>((H11*D28)/D24)*100</f>
        <v>16.956917475728154</v>
      </c>
      <c r="J11" s="7">
        <f>G11+D26</f>
        <v>62</v>
      </c>
      <c r="K11" s="7">
        <v>6.5</v>
      </c>
      <c r="L11" s="7">
        <f t="shared" si="0"/>
        <v>1.625</v>
      </c>
      <c r="M11" s="7">
        <v>1.41E-2</v>
      </c>
      <c r="N11" s="7">
        <f t="shared" si="1"/>
        <v>1.7974043785414565E-2</v>
      </c>
      <c r="O11" s="17">
        <v>-1.1000000000000001</v>
      </c>
      <c r="P11" s="12"/>
    </row>
    <row r="12" spans="3:16">
      <c r="C12" s="5">
        <v>45931</v>
      </c>
      <c r="D12" s="6">
        <v>0.39513888888888887</v>
      </c>
      <c r="E12" s="7">
        <v>8</v>
      </c>
      <c r="F12" s="7">
        <v>14</v>
      </c>
      <c r="G12" s="7">
        <v>58</v>
      </c>
      <c r="H12" s="7">
        <f>G12-O9</f>
        <v>59.1</v>
      </c>
      <c r="I12" s="7">
        <f>((H12*D28)/D24)*100</f>
        <v>16.137742718446603</v>
      </c>
      <c r="J12" s="7">
        <f>G12+D26</f>
        <v>59</v>
      </c>
      <c r="K12" s="7">
        <v>6.8</v>
      </c>
      <c r="L12" s="7">
        <f t="shared" si="0"/>
        <v>0.85</v>
      </c>
      <c r="M12" s="7">
        <v>1.41E-2</v>
      </c>
      <c r="N12" s="7">
        <f t="shared" si="1"/>
        <v>1.2999557684782972E-2</v>
      </c>
      <c r="O12" s="17">
        <v>-1.1000000000000001</v>
      </c>
      <c r="P12" s="12"/>
    </row>
    <row r="13" spans="3:16">
      <c r="C13" s="5">
        <v>45931</v>
      </c>
      <c r="D13" s="6">
        <v>0.40625</v>
      </c>
      <c r="E13" s="7">
        <v>16</v>
      </c>
      <c r="F13" s="7">
        <v>14</v>
      </c>
      <c r="G13" s="7">
        <v>55</v>
      </c>
      <c r="H13" s="7">
        <f>G13-O9</f>
        <v>56.1</v>
      </c>
      <c r="I13" s="7">
        <f>((H13*D28)/D24)*100</f>
        <v>15.31856796116505</v>
      </c>
      <c r="J13" s="7">
        <f>G13+D26</f>
        <v>56</v>
      </c>
      <c r="K13" s="7">
        <v>7.3</v>
      </c>
      <c r="L13" s="7">
        <f t="shared" si="0"/>
        <v>0.45624999999999999</v>
      </c>
      <c r="M13" s="7">
        <v>1.41E-2</v>
      </c>
      <c r="N13" s="7">
        <f t="shared" si="1"/>
        <v>9.5240255407049376E-3</v>
      </c>
      <c r="O13" s="17">
        <v>-1.1000000000000001</v>
      </c>
      <c r="P13" s="12"/>
    </row>
    <row r="14" spans="3:16">
      <c r="C14" s="5">
        <v>45931</v>
      </c>
      <c r="D14" s="6">
        <v>0.4284722222222222</v>
      </c>
      <c r="E14" s="7">
        <v>32</v>
      </c>
      <c r="F14" s="7">
        <v>16</v>
      </c>
      <c r="G14" s="7">
        <v>53</v>
      </c>
      <c r="H14" s="7">
        <f>G14-O9</f>
        <v>54.1</v>
      </c>
      <c r="I14" s="7">
        <f>((H14*D28)/D24)*100</f>
        <v>14.772451456310678</v>
      </c>
      <c r="J14" s="7">
        <f>G14+D26</f>
        <v>54</v>
      </c>
      <c r="K14" s="7">
        <v>7.6</v>
      </c>
      <c r="L14" s="7">
        <f t="shared" si="0"/>
        <v>0.23749999999999999</v>
      </c>
      <c r="M14" s="7">
        <v>1.41E-2</v>
      </c>
      <c r="N14" s="7">
        <f t="shared" si="1"/>
        <v>6.8714900130903188E-3</v>
      </c>
      <c r="O14" s="17">
        <v>-0.9</v>
      </c>
      <c r="P14" s="12"/>
    </row>
    <row r="15" spans="3:16">
      <c r="C15" s="5">
        <v>45931</v>
      </c>
      <c r="D15" s="6">
        <v>0.47291666666666665</v>
      </c>
      <c r="E15" s="7">
        <v>64</v>
      </c>
      <c r="F15" s="7">
        <v>14</v>
      </c>
      <c r="G15" s="7">
        <v>52</v>
      </c>
      <c r="H15" s="7">
        <f>G15-O9</f>
        <v>53.1</v>
      </c>
      <c r="I15" s="7">
        <f>((H15*D28)/D24)*100</f>
        <v>14.499393203883496</v>
      </c>
      <c r="J15" s="7">
        <f>G15+D26</f>
        <v>53</v>
      </c>
      <c r="K15" s="7">
        <v>7.8</v>
      </c>
      <c r="L15" s="7">
        <f t="shared" si="0"/>
        <v>0.121875</v>
      </c>
      <c r="M15" s="7">
        <v>1.41E-2</v>
      </c>
      <c r="N15" s="7">
        <f t="shared" si="1"/>
        <v>4.9223946154285511E-3</v>
      </c>
      <c r="O15" s="17">
        <v>-1.1000000000000001</v>
      </c>
      <c r="P15" s="12"/>
    </row>
    <row r="16" spans="3:16">
      <c r="C16" s="5">
        <v>45931</v>
      </c>
      <c r="D16" s="6">
        <v>6.1805555555555558E-2</v>
      </c>
      <c r="E16" s="7">
        <v>128</v>
      </c>
      <c r="F16" s="7">
        <v>14</v>
      </c>
      <c r="G16" s="7">
        <v>51</v>
      </c>
      <c r="H16" s="7">
        <f>G16-O9</f>
        <v>52.1</v>
      </c>
      <c r="I16" s="7">
        <f>((H16*D28)/D24)*100</f>
        <v>14.226334951456309</v>
      </c>
      <c r="J16" s="7">
        <f>G16+D26</f>
        <v>52</v>
      </c>
      <c r="K16" s="7">
        <v>7.9</v>
      </c>
      <c r="L16" s="7">
        <f t="shared" si="0"/>
        <v>6.1718750000000003E-2</v>
      </c>
      <c r="M16" s="7">
        <v>1.41E-2</v>
      </c>
      <c r="N16" s="7">
        <f t="shared" si="1"/>
        <v>3.5028994686545031E-3</v>
      </c>
      <c r="O16" s="17">
        <v>-1.1000000000000001</v>
      </c>
      <c r="P16" s="12"/>
    </row>
    <row r="17" spans="2:16">
      <c r="B17" s="2"/>
      <c r="C17" s="5">
        <v>45931</v>
      </c>
      <c r="D17" s="6">
        <v>0.23958333333333334</v>
      </c>
      <c r="E17" s="7">
        <v>256</v>
      </c>
      <c r="F17" s="7">
        <v>14</v>
      </c>
      <c r="G17" s="7">
        <v>50</v>
      </c>
      <c r="H17" s="7">
        <f>G17-O9</f>
        <v>51.1</v>
      </c>
      <c r="I17" s="7">
        <f>((H17*D28)/D24)*100</f>
        <v>13.953276699029127</v>
      </c>
      <c r="J17" s="7">
        <f>G17+D26</f>
        <v>51</v>
      </c>
      <c r="K17" s="7">
        <v>8.1</v>
      </c>
      <c r="L17" s="7">
        <f t="shared" si="0"/>
        <v>3.1640624999999999E-2</v>
      </c>
      <c r="M17" s="7">
        <v>1.41E-2</v>
      </c>
      <c r="N17" s="7">
        <f t="shared" si="1"/>
        <v>2.5080814692210458E-3</v>
      </c>
      <c r="O17" s="17">
        <v>-1.1000000000000001</v>
      </c>
      <c r="P17" s="12"/>
    </row>
    <row r="18" spans="2:16">
      <c r="B18" s="2"/>
      <c r="C18" s="5">
        <v>45932</v>
      </c>
      <c r="D18" s="6">
        <v>0.25</v>
      </c>
      <c r="E18" s="7">
        <v>512</v>
      </c>
      <c r="F18" s="7">
        <v>16</v>
      </c>
      <c r="G18" s="7">
        <v>49</v>
      </c>
      <c r="H18" s="7">
        <f>G18-O9</f>
        <v>50.1</v>
      </c>
      <c r="I18" s="7">
        <f>((H18*D28)/D24)*100</f>
        <v>13.680218446601945</v>
      </c>
      <c r="J18" s="7">
        <f>G18+D26</f>
        <v>50</v>
      </c>
      <c r="K18" s="7">
        <v>8.3000000000000007</v>
      </c>
      <c r="L18" s="7">
        <f t="shared" si="0"/>
        <v>1.6210937500000001E-2</v>
      </c>
      <c r="M18" s="7">
        <v>1.41E-2</v>
      </c>
      <c r="N18" s="7">
        <f t="shared" si="1"/>
        <v>1.7952427368952088E-3</v>
      </c>
      <c r="O18" s="17">
        <v>-0.9</v>
      </c>
      <c r="P18" s="12"/>
    </row>
    <row r="19" spans="2:16">
      <c r="B19" s="2"/>
      <c r="C19" s="5">
        <v>45933</v>
      </c>
      <c r="D19" s="6">
        <v>0.25</v>
      </c>
      <c r="E19" s="7">
        <v>1024</v>
      </c>
      <c r="F19" s="7">
        <v>9</v>
      </c>
      <c r="G19" s="7">
        <v>48</v>
      </c>
      <c r="H19" s="7">
        <f>G19-O9</f>
        <v>49.1</v>
      </c>
      <c r="I19" s="7">
        <f>((H19*D28)/D24)*100</f>
        <v>13.407160194174757</v>
      </c>
      <c r="J19" s="7">
        <f>G19+D26</f>
        <v>49</v>
      </c>
      <c r="K19" s="7">
        <v>8.4</v>
      </c>
      <c r="L19" s="7">
        <f t="shared" si="0"/>
        <v>8.2031250000000003E-3</v>
      </c>
      <c r="M19" s="7">
        <v>1.41E-2</v>
      </c>
      <c r="N19" s="7">
        <f t="shared" si="1"/>
        <v>1.2770525757579442E-3</v>
      </c>
      <c r="O19" s="17">
        <v>-1.1000000000000001</v>
      </c>
      <c r="P19" s="12"/>
    </row>
    <row r="20" spans="2:16">
      <c r="B20" s="2"/>
      <c r="C20" s="5">
        <v>45934</v>
      </c>
      <c r="D20" s="6">
        <v>0.25</v>
      </c>
      <c r="E20" s="7">
        <v>2048</v>
      </c>
      <c r="F20" s="7">
        <v>14</v>
      </c>
      <c r="G20" s="7">
        <v>47</v>
      </c>
      <c r="H20" s="7">
        <f>G20-O9</f>
        <v>48.1</v>
      </c>
      <c r="I20" s="7">
        <f>((H20*D28)/D24)*100</f>
        <v>13.134101941747572</v>
      </c>
      <c r="J20" s="7">
        <f>G20+D26</f>
        <v>48</v>
      </c>
      <c r="K20" s="7">
        <v>8.6</v>
      </c>
      <c r="L20" s="7">
        <f t="shared" si="0"/>
        <v>4.1992187499999998E-3</v>
      </c>
      <c r="M20" s="7">
        <v>1.41E-2</v>
      </c>
      <c r="N20" s="7">
        <f t="shared" si="1"/>
        <v>9.136994471310026E-4</v>
      </c>
      <c r="O20" s="17">
        <v>-1.1000000000000001</v>
      </c>
      <c r="P20" s="12"/>
    </row>
    <row r="21" spans="2:16">
      <c r="B21" s="2"/>
      <c r="C21" s="8">
        <v>45936</v>
      </c>
      <c r="D21" s="9">
        <v>0.25</v>
      </c>
      <c r="E21" s="10">
        <v>4096</v>
      </c>
      <c r="F21" s="10">
        <v>13</v>
      </c>
      <c r="G21" s="10">
        <v>50</v>
      </c>
      <c r="H21" s="10">
        <f>G21-O9</f>
        <v>51.1</v>
      </c>
      <c r="I21" s="10">
        <f>((H21*D28)/D24)*100</f>
        <v>13.953276699029127</v>
      </c>
      <c r="J21" s="10">
        <f>G21+D26</f>
        <v>51</v>
      </c>
      <c r="K21" s="10">
        <v>8.1</v>
      </c>
      <c r="L21" s="10">
        <f t="shared" si="0"/>
        <v>1.9775390624999999E-3</v>
      </c>
      <c r="M21" s="10">
        <v>1.41E-2</v>
      </c>
      <c r="N21" s="10">
        <f t="shared" si="1"/>
        <v>6.2702036730526145E-4</v>
      </c>
      <c r="O21" s="18">
        <v>-1.1000000000000001</v>
      </c>
      <c r="P21" s="12"/>
    </row>
    <row r="22" spans="2:16">
      <c r="P22" s="11"/>
    </row>
    <row r="24" spans="2:16">
      <c r="C24" s="3" t="s">
        <v>15</v>
      </c>
      <c r="D24" s="15">
        <v>362.56</v>
      </c>
    </row>
    <row r="25" spans="2:16">
      <c r="C25" s="3" t="s">
        <v>13</v>
      </c>
      <c r="D25" s="16">
        <v>2.72</v>
      </c>
    </row>
    <row r="26" spans="2:16">
      <c r="C26" s="3" t="s">
        <v>14</v>
      </c>
      <c r="D26" s="16">
        <v>1</v>
      </c>
    </row>
    <row r="27" spans="2:16">
      <c r="C27" s="3" t="s">
        <v>11</v>
      </c>
      <c r="D27" s="16">
        <v>3</v>
      </c>
    </row>
    <row r="28" spans="2:16">
      <c r="C28" s="3" t="s">
        <v>17</v>
      </c>
      <c r="D28" s="16">
        <v>0.99</v>
      </c>
    </row>
    <row r="29" spans="2:16">
      <c r="C29" s="14"/>
      <c r="D29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Gil Parada</dc:creator>
  <cp:lastModifiedBy>Pr Sala 407</cp:lastModifiedBy>
  <dcterms:created xsi:type="dcterms:W3CDTF">2025-06-02T01:36:02Z</dcterms:created>
  <dcterms:modified xsi:type="dcterms:W3CDTF">2025-10-17T17:06:14Z</dcterms:modified>
</cp:coreProperties>
</file>