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ecanica de Suelos-20250819T220222Z-1-001\"/>
    </mc:Choice>
  </mc:AlternateContent>
  <xr:revisionPtr revIDLastSave="0" documentId="8_{CAAAF922-D551-4DC8-9AE4-81ECC1A71AB8}" xr6:coauthVersionLast="47" xr6:coauthVersionMax="47" xr10:uidLastSave="{00000000-0000-0000-0000-000000000000}"/>
  <bookViews>
    <workbookView xWindow="-120" yWindow="-120" windowWidth="20730" windowHeight="11040" xr2:uid="{D46F397D-A41C-43FB-A300-B7FFF8AA7F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G32" i="1" s="1"/>
  <c r="G31" i="1"/>
  <c r="G29" i="1"/>
  <c r="G28" i="1"/>
  <c r="G30" i="1"/>
  <c r="G27" i="1"/>
  <c r="G26" i="1"/>
  <c r="G25" i="1"/>
  <c r="G24" i="1"/>
  <c r="G23" i="1"/>
  <c r="G22" i="1"/>
  <c r="G21" i="1"/>
  <c r="F31" i="1"/>
  <c r="F30" i="1"/>
  <c r="F29" i="1"/>
  <c r="F28" i="1"/>
  <c r="F27" i="1"/>
  <c r="F26" i="1"/>
  <c r="F25" i="1"/>
  <c r="F24" i="1"/>
  <c r="F22" i="1"/>
  <c r="F23" i="1"/>
  <c r="F21" i="1"/>
  <c r="C6" i="1"/>
  <c r="C4" i="1"/>
  <c r="C7" i="1"/>
  <c r="C8" i="1"/>
  <c r="F17" i="1"/>
  <c r="F16" i="1"/>
  <c r="F15" i="1"/>
  <c r="F14" i="1"/>
  <c r="F13" i="1"/>
  <c r="F8" i="1"/>
  <c r="F7" i="1"/>
  <c r="F6" i="1"/>
  <c r="F5" i="1"/>
  <c r="F4" i="1"/>
  <c r="C18" i="1"/>
  <c r="C17" i="1"/>
  <c r="C16" i="1"/>
  <c r="C15" i="1"/>
  <c r="C14" i="1"/>
  <c r="C13" i="1"/>
  <c r="C9" i="1" l="1"/>
  <c r="F18" i="1"/>
  <c r="F9" i="1"/>
</calcChain>
</file>

<file path=xl/sharedStrings.xml><?xml version="1.0" encoding="utf-8"?>
<sst xmlns="http://schemas.openxmlformats.org/spreadsheetml/2006/main" count="50" uniqueCount="20">
  <si>
    <t>Muestra N° 1</t>
  </si>
  <si>
    <t>Muestra N° 2</t>
  </si>
  <si>
    <t>Platon</t>
  </si>
  <si>
    <t>Muestra</t>
  </si>
  <si>
    <t>Peso (g)</t>
  </si>
  <si>
    <t>N° 10</t>
  </si>
  <si>
    <t>N° 40</t>
  </si>
  <si>
    <t>N° 200</t>
  </si>
  <si>
    <t>Fondo</t>
  </si>
  <si>
    <t>Total Muestra</t>
  </si>
  <si>
    <t>Muestra N° 3</t>
  </si>
  <si>
    <t>N° Tamiz</t>
  </si>
  <si>
    <t>Peso Retenido (g)</t>
  </si>
  <si>
    <t>% Retenido</t>
  </si>
  <si>
    <t>% Pasa</t>
  </si>
  <si>
    <t>Abertura (mm)</t>
  </si>
  <si>
    <t>Muestra N° 4</t>
  </si>
  <si>
    <t>Clasificacion</t>
  </si>
  <si>
    <t>A-1-a</t>
  </si>
  <si>
    <t>A-1-b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</si>
</sst>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7E5D-086A-4410-8EB8-C5384923C686}">
  <dimension ref="B2:H32"/>
  <sheetViews>
    <sheetView tabSelected="1" topLeftCell="A15" workbookViewId="0">
      <selection activeCell="I36" sqref="I36"/>
    </sheetView>
  </sheetViews>
  <sheetFormatPr baseColWidth="10" defaultRowHeight="15" x14ac:dyDescent="0.25"/>
  <cols>
    <col min="2" max="2" width="17.85546875" bestFit="1" customWidth="1"/>
    <col min="4" max="4" width="14.140625" bestFit="1" customWidth="1"/>
    <col min="5" max="5" width="16.85546875" bestFit="1" customWidth="1"/>
    <col min="8" max="8" width="12" bestFit="1" customWidth="1"/>
  </cols>
  <sheetData>
    <row r="2" spans="2:6" x14ac:dyDescent="0.25">
      <c r="B2" s="4" t="s">
        <v>0</v>
      </c>
      <c r="C2" s="4" t="s">
        <v>4</v>
      </c>
      <c r="D2" s="1"/>
      <c r="E2" s="4" t="s">
        <v>10</v>
      </c>
      <c r="F2" s="4" t="s">
        <v>4</v>
      </c>
    </row>
    <row r="3" spans="2:6" x14ac:dyDescent="0.25">
      <c r="B3" s="4" t="s">
        <v>2</v>
      </c>
      <c r="C3" s="2">
        <v>130</v>
      </c>
      <c r="D3" s="1"/>
      <c r="E3" s="4" t="s">
        <v>2</v>
      </c>
      <c r="F3" s="2">
        <v>130</v>
      </c>
    </row>
    <row r="4" spans="2:6" x14ac:dyDescent="0.25">
      <c r="B4" s="4" t="s">
        <v>3</v>
      </c>
      <c r="C4" s="2">
        <f>1429-C3</f>
        <v>1299</v>
      </c>
      <c r="D4" s="1"/>
      <c r="E4" s="4" t="s">
        <v>3</v>
      </c>
      <c r="F4" s="2">
        <f>1033-F3</f>
        <v>903</v>
      </c>
    </row>
    <row r="5" spans="2:6" x14ac:dyDescent="0.25">
      <c r="B5" s="4" t="s">
        <v>5</v>
      </c>
      <c r="C5" s="2">
        <v>0</v>
      </c>
      <c r="D5" s="1"/>
      <c r="E5" s="4" t="s">
        <v>5</v>
      </c>
      <c r="F5" s="2">
        <f>907-F3</f>
        <v>777</v>
      </c>
    </row>
    <row r="6" spans="2:6" x14ac:dyDescent="0.25">
      <c r="B6" s="4" t="s">
        <v>6</v>
      </c>
      <c r="C6" s="2">
        <f>1359-C3</f>
        <v>1229</v>
      </c>
      <c r="D6" s="1"/>
      <c r="E6" s="4" t="s">
        <v>6</v>
      </c>
      <c r="F6" s="2">
        <f>164-F3</f>
        <v>34</v>
      </c>
    </row>
    <row r="7" spans="2:6" x14ac:dyDescent="0.25">
      <c r="B7" s="4" t="s">
        <v>7</v>
      </c>
      <c r="C7" s="2">
        <f>188-C3</f>
        <v>58</v>
      </c>
      <c r="D7" s="1"/>
      <c r="E7" s="4" t="s">
        <v>7</v>
      </c>
      <c r="F7" s="2">
        <f>206-F3</f>
        <v>76</v>
      </c>
    </row>
    <row r="8" spans="2:6" x14ac:dyDescent="0.25">
      <c r="B8" s="4" t="s">
        <v>8</v>
      </c>
      <c r="C8" s="2">
        <f>131-C3</f>
        <v>1</v>
      </c>
      <c r="D8" s="1"/>
      <c r="E8" s="4" t="s">
        <v>8</v>
      </c>
      <c r="F8" s="2">
        <f>134-F3</f>
        <v>4</v>
      </c>
    </row>
    <row r="9" spans="2:6" x14ac:dyDescent="0.25">
      <c r="B9" s="4" t="s">
        <v>9</v>
      </c>
      <c r="C9" s="2">
        <f>SUM(C5:C8)</f>
        <v>1288</v>
      </c>
      <c r="D9" s="1"/>
      <c r="E9" s="4" t="s">
        <v>9</v>
      </c>
      <c r="F9" s="2">
        <f>SUM(F5:F8)</f>
        <v>891</v>
      </c>
    </row>
    <row r="10" spans="2:6" x14ac:dyDescent="0.25">
      <c r="B10" s="1"/>
      <c r="C10" s="1"/>
      <c r="D10" s="1"/>
      <c r="E10" s="1"/>
      <c r="F10" s="1"/>
    </row>
    <row r="11" spans="2:6" x14ac:dyDescent="0.25">
      <c r="B11" s="4" t="s">
        <v>1</v>
      </c>
      <c r="C11" s="4" t="s">
        <v>4</v>
      </c>
      <c r="D11" s="1"/>
      <c r="E11" s="4" t="s">
        <v>16</v>
      </c>
      <c r="F11" s="4" t="s">
        <v>4</v>
      </c>
    </row>
    <row r="12" spans="2:6" x14ac:dyDescent="0.25">
      <c r="B12" s="4" t="s">
        <v>2</v>
      </c>
      <c r="C12" s="2">
        <v>130</v>
      </c>
      <c r="D12" s="1"/>
      <c r="E12" s="4" t="s">
        <v>2</v>
      </c>
      <c r="F12" s="2">
        <v>130</v>
      </c>
    </row>
    <row r="13" spans="2:6" x14ac:dyDescent="0.25">
      <c r="B13" s="4" t="s">
        <v>3</v>
      </c>
      <c r="C13" s="2">
        <f>1096-C12</f>
        <v>966</v>
      </c>
      <c r="D13" s="1"/>
      <c r="E13" s="4" t="s">
        <v>3</v>
      </c>
      <c r="F13" s="2">
        <f>1305-F12</f>
        <v>1175</v>
      </c>
    </row>
    <row r="14" spans="2:6" x14ac:dyDescent="0.25">
      <c r="B14" s="4" t="s">
        <v>5</v>
      </c>
      <c r="C14" s="2">
        <f>918-C12</f>
        <v>788</v>
      </c>
      <c r="D14" s="1"/>
      <c r="E14" s="4" t="s">
        <v>5</v>
      </c>
      <c r="F14" s="2">
        <f>1019-F12</f>
        <v>889</v>
      </c>
    </row>
    <row r="15" spans="2:6" x14ac:dyDescent="0.25">
      <c r="B15" s="4" t="s">
        <v>6</v>
      </c>
      <c r="C15" s="2">
        <f>189-C12</f>
        <v>59</v>
      </c>
      <c r="D15" s="1"/>
      <c r="E15" s="4" t="s">
        <v>6</v>
      </c>
      <c r="F15" s="2">
        <f>259-F12</f>
        <v>129</v>
      </c>
    </row>
    <row r="16" spans="2:6" x14ac:dyDescent="0.25">
      <c r="B16" s="4" t="s">
        <v>7</v>
      </c>
      <c r="C16" s="2">
        <f>246-C12</f>
        <v>116</v>
      </c>
      <c r="D16" s="1"/>
      <c r="E16" s="4" t="s">
        <v>7</v>
      </c>
      <c r="F16" s="2">
        <f>284-F12</f>
        <v>154</v>
      </c>
    </row>
    <row r="17" spans="2:8" x14ac:dyDescent="0.25">
      <c r="B17" s="4" t="s">
        <v>8</v>
      </c>
      <c r="C17" s="2">
        <f>133-C12</f>
        <v>3</v>
      </c>
      <c r="D17" s="1"/>
      <c r="E17" s="4" t="s">
        <v>8</v>
      </c>
      <c r="F17" s="2">
        <f>132-F12</f>
        <v>2</v>
      </c>
    </row>
    <row r="18" spans="2:8" x14ac:dyDescent="0.25">
      <c r="B18" s="4" t="s">
        <v>9</v>
      </c>
      <c r="C18" s="2">
        <f>SUM(C14:C17)</f>
        <v>966</v>
      </c>
      <c r="D18" s="1"/>
      <c r="E18" s="4" t="s">
        <v>9</v>
      </c>
      <c r="F18" s="2">
        <f>SUM(F14:F17)</f>
        <v>1174</v>
      </c>
    </row>
    <row r="20" spans="2:8" x14ac:dyDescent="0.25">
      <c r="B20" s="4"/>
      <c r="C20" s="4" t="s">
        <v>11</v>
      </c>
      <c r="D20" s="4" t="s">
        <v>15</v>
      </c>
      <c r="E20" s="4" t="s">
        <v>12</v>
      </c>
      <c r="F20" s="4" t="s">
        <v>13</v>
      </c>
      <c r="G20" s="4" t="s">
        <v>14</v>
      </c>
      <c r="H20" s="4" t="s">
        <v>17</v>
      </c>
    </row>
    <row r="21" spans="2:8" x14ac:dyDescent="0.25">
      <c r="B21" s="3" t="s">
        <v>0</v>
      </c>
      <c r="C21" s="2">
        <v>10</v>
      </c>
      <c r="D21" s="2">
        <v>2</v>
      </c>
      <c r="E21" s="2">
        <v>0</v>
      </c>
      <c r="F21" s="2">
        <f>(E21/C4)*100</f>
        <v>0</v>
      </c>
      <c r="G21" s="2">
        <f>100-F21</f>
        <v>100</v>
      </c>
      <c r="H21" s="3" t="s">
        <v>19</v>
      </c>
    </row>
    <row r="22" spans="2:8" x14ac:dyDescent="0.25">
      <c r="B22" s="3"/>
      <c r="C22" s="2">
        <v>40</v>
      </c>
      <c r="D22" s="2">
        <v>0.42499999999999999</v>
      </c>
      <c r="E22" s="2">
        <v>1229</v>
      </c>
      <c r="F22" s="2">
        <f>(E22/C4)*100</f>
        <v>94.611239414934573</v>
      </c>
      <c r="G22" s="2">
        <f>G21-F22</f>
        <v>5.3887605850654268</v>
      </c>
      <c r="H22" s="3"/>
    </row>
    <row r="23" spans="2:8" x14ac:dyDescent="0.25">
      <c r="B23" s="3"/>
      <c r="C23" s="2">
        <v>200</v>
      </c>
      <c r="D23" s="2">
        <v>7.4999999999999997E-2</v>
      </c>
      <c r="E23" s="2">
        <v>58</v>
      </c>
      <c r="F23" s="2">
        <f t="shared" ref="F22:F23" si="0">(E23/C6)*100</f>
        <v>4.7192839707078926</v>
      </c>
      <c r="G23" s="2">
        <f>G22-F23</f>
        <v>0.66947661435753414</v>
      </c>
      <c r="H23" s="3"/>
    </row>
    <row r="24" spans="2:8" x14ac:dyDescent="0.25">
      <c r="B24" s="3" t="s">
        <v>1</v>
      </c>
      <c r="C24" s="2">
        <v>10</v>
      </c>
      <c r="D24" s="2">
        <v>2</v>
      </c>
      <c r="E24" s="2">
        <v>788</v>
      </c>
      <c r="F24" s="2">
        <f>(E24/C13)*100</f>
        <v>81.573498964803321</v>
      </c>
      <c r="G24" s="2">
        <f>100-F24</f>
        <v>18.426501035196679</v>
      </c>
      <c r="H24" s="3" t="s">
        <v>18</v>
      </c>
    </row>
    <row r="25" spans="2:8" x14ac:dyDescent="0.25">
      <c r="B25" s="3"/>
      <c r="C25" s="2">
        <v>40</v>
      </c>
      <c r="D25" s="2">
        <v>0.42499999999999999</v>
      </c>
      <c r="E25" s="2">
        <v>59</v>
      </c>
      <c r="F25" s="2">
        <f>(E25/C13)*100</f>
        <v>6.1076604554865428</v>
      </c>
      <c r="G25" s="2">
        <f>G24-F25</f>
        <v>12.318840579710137</v>
      </c>
      <c r="H25" s="3"/>
    </row>
    <row r="26" spans="2:8" x14ac:dyDescent="0.25">
      <c r="B26" s="3"/>
      <c r="C26" s="2">
        <v>200</v>
      </c>
      <c r="D26" s="2">
        <v>7.4999999999999997E-2</v>
      </c>
      <c r="E26" s="2">
        <v>116</v>
      </c>
      <c r="F26" s="2">
        <f>(E26/C13)*100</f>
        <v>12.008281573498964</v>
      </c>
      <c r="G26" s="2">
        <f>G25-F26</f>
        <v>0.31055900621117338</v>
      </c>
      <c r="H26" s="3"/>
    </row>
    <row r="27" spans="2:8" x14ac:dyDescent="0.25">
      <c r="B27" s="3" t="s">
        <v>10</v>
      </c>
      <c r="C27" s="2">
        <v>10</v>
      </c>
      <c r="D27" s="2">
        <v>2</v>
      </c>
      <c r="E27" s="2">
        <v>777</v>
      </c>
      <c r="F27" s="2">
        <f>(E27/F4)*100</f>
        <v>86.04651162790698</v>
      </c>
      <c r="G27" s="2">
        <f>100-F27</f>
        <v>13.95348837209302</v>
      </c>
      <c r="H27" s="3" t="s">
        <v>18</v>
      </c>
    </row>
    <row r="28" spans="2:8" x14ac:dyDescent="0.25">
      <c r="B28" s="3"/>
      <c r="C28" s="2">
        <v>40</v>
      </c>
      <c r="D28" s="2">
        <v>0.42499999999999999</v>
      </c>
      <c r="E28" s="2">
        <v>34</v>
      </c>
      <c r="F28" s="2">
        <f>(E28/F4)*100</f>
        <v>3.7652270210409746</v>
      </c>
      <c r="G28" s="2">
        <f>G27-F28</f>
        <v>10.188261351052045</v>
      </c>
      <c r="H28" s="3"/>
    </row>
    <row r="29" spans="2:8" x14ac:dyDescent="0.25">
      <c r="B29" s="3"/>
      <c r="C29" s="2">
        <v>200</v>
      </c>
      <c r="D29" s="2">
        <v>7.4999999999999997E-2</v>
      </c>
      <c r="E29" s="2">
        <v>76</v>
      </c>
      <c r="F29" s="2">
        <f>(E29/F4)*100</f>
        <v>8.4163898117386484</v>
      </c>
      <c r="G29" s="2">
        <f>G28-F29</f>
        <v>1.7718715393133966</v>
      </c>
      <c r="H29" s="3"/>
    </row>
    <row r="30" spans="2:8" x14ac:dyDescent="0.25">
      <c r="B30" s="3" t="s">
        <v>16</v>
      </c>
      <c r="C30" s="2">
        <v>10</v>
      </c>
      <c r="D30" s="2">
        <v>2</v>
      </c>
      <c r="E30" s="2">
        <v>889</v>
      </c>
      <c r="F30" s="2">
        <f>(E30/F13)*100</f>
        <v>75.659574468085111</v>
      </c>
      <c r="G30" s="2">
        <f t="shared" ref="G28:G32" si="1">100-F30</f>
        <v>24.340425531914889</v>
      </c>
      <c r="H30" s="3" t="s">
        <v>18</v>
      </c>
    </row>
    <row r="31" spans="2:8" x14ac:dyDescent="0.25">
      <c r="B31" s="3"/>
      <c r="C31" s="2">
        <v>40</v>
      </c>
      <c r="D31" s="2">
        <v>0.42499999999999999</v>
      </c>
      <c r="E31" s="2">
        <v>129</v>
      </c>
      <c r="F31" s="2">
        <f>(E31/F13)*100</f>
        <v>10.978723404255319</v>
      </c>
      <c r="G31" s="2">
        <f>G30-F31</f>
        <v>13.361702127659569</v>
      </c>
      <c r="H31" s="3"/>
    </row>
    <row r="32" spans="2:8" x14ac:dyDescent="0.25">
      <c r="B32" s="3"/>
      <c r="C32" s="2">
        <v>200</v>
      </c>
      <c r="D32" s="2">
        <v>7.4999999999999997E-2</v>
      </c>
      <c r="E32" s="2">
        <v>154</v>
      </c>
      <c r="F32" s="2">
        <f>(E32/F13)*100</f>
        <v>13.106382978723405</v>
      </c>
      <c r="G32" s="2">
        <f>G31-F32</f>
        <v>0.25531914893616481</v>
      </c>
      <c r="H32" s="3"/>
    </row>
  </sheetData>
  <mergeCells count="8">
    <mergeCell ref="B21:B23"/>
    <mergeCell ref="B24:B26"/>
    <mergeCell ref="B27:B29"/>
    <mergeCell ref="B30:B32"/>
    <mergeCell ref="H21:H23"/>
    <mergeCell ref="H24:H26"/>
    <mergeCell ref="H27:H29"/>
    <mergeCell ref="H30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Casta�eda Cardona</dc:creator>
  <cp:lastModifiedBy>Daniel Alejandro Casta�eda Cardona</cp:lastModifiedBy>
  <dcterms:created xsi:type="dcterms:W3CDTF">2025-10-05T21:16:25Z</dcterms:created>
  <dcterms:modified xsi:type="dcterms:W3CDTF">2025-10-05T21:59:32Z</dcterms:modified>
</cp:coreProperties>
</file>