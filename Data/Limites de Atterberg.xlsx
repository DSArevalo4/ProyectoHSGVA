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Mecanica de Suelos-20250819T220222Z-1-001\"/>
    </mc:Choice>
  </mc:AlternateContent>
  <xr:revisionPtr revIDLastSave="0" documentId="8_{AB89A6E0-03E0-4D52-A731-559F0A8E13A4}" xr6:coauthVersionLast="47" xr6:coauthVersionMax="47" xr10:uidLastSave="{00000000-0000-0000-0000-000000000000}"/>
  <bookViews>
    <workbookView xWindow="-120" yWindow="-120" windowWidth="20730" windowHeight="11040" xr2:uid="{A06CEE16-D597-483A-8E0D-07FBC1ADCC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7" i="1" l="1"/>
  <c r="C26" i="1"/>
  <c r="C25" i="1"/>
  <c r="E23" i="1"/>
  <c r="E12" i="1"/>
  <c r="E20" i="1"/>
  <c r="D21" i="1"/>
  <c r="D22" i="1"/>
  <c r="D20" i="1"/>
  <c r="C21" i="1"/>
  <c r="E21" i="1" s="1"/>
  <c r="C22" i="1"/>
  <c r="E22" i="1" s="1"/>
  <c r="C20" i="1"/>
  <c r="E9" i="1"/>
  <c r="D9" i="1"/>
  <c r="D10" i="1"/>
  <c r="D11" i="1"/>
  <c r="E11" i="1" s="1"/>
  <c r="C10" i="1"/>
  <c r="E10" i="1" s="1"/>
  <c r="C11" i="1"/>
  <c r="C9" i="1"/>
</calcChain>
</file>

<file path=xl/sharedStrings.xml><?xml version="1.0" encoding="utf-8"?>
<sst xmlns="http://schemas.openxmlformats.org/spreadsheetml/2006/main" count="26" uniqueCount="16">
  <si>
    <t>Ensayo</t>
  </si>
  <si>
    <t>Caso</t>
  </si>
  <si>
    <t>N° Golpes</t>
  </si>
  <si>
    <t>Recipiente (g)</t>
  </si>
  <si>
    <t>15 - 25</t>
  </si>
  <si>
    <t>25 -35</t>
  </si>
  <si>
    <t>20 - 30</t>
  </si>
  <si>
    <t>Recipiente + Suelo H (g)</t>
  </si>
  <si>
    <t>Recipiente + Suelo s (g)</t>
  </si>
  <si>
    <t>Ww</t>
  </si>
  <si>
    <t>Ws</t>
  </si>
  <si>
    <t>W%</t>
  </si>
  <si>
    <t>Total</t>
  </si>
  <si>
    <t>LL</t>
  </si>
  <si>
    <t>LP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</si>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</sst>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571500</xdr:colOff>
      <xdr:row>2</xdr:row>
      <xdr:rowOff>295275</xdr:rowOff>
    </xdr:from>
    <xdr:to>
      <xdr:col>12</xdr:col>
      <xdr:colOff>675786</xdr:colOff>
      <xdr:row>17</xdr:row>
      <xdr:rowOff>75815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D2518AA-F79E-340B-4AA7-D924FE2FA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67475" y="676275"/>
          <a:ext cx="3914286" cy="30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8B06E-2EEA-40D4-9AD4-35DE0EA6AD67}">
  <dimension ref="B3:G27"/>
  <sheetViews>
    <sheetView tabSelected="1" topLeftCell="A9" workbookViewId="0">
      <selection activeCell="I29" sqref="I29"/>
    </sheetView>
  </sheetViews>
  <sheetFormatPr baseColWidth="10" defaultRowHeight="15" x14ac:dyDescent="0.25"/>
  <cols>
    <col min="3" max="3" width="12.85546875" bestFit="1" customWidth="1"/>
    <col min="4" max="4" width="14" customWidth="1"/>
    <col min="5" max="5" width="16.140625" customWidth="1"/>
    <col min="6" max="6" width="14.42578125" customWidth="1"/>
    <col min="7" max="7" width="14.85546875" customWidth="1"/>
  </cols>
  <sheetData>
    <row r="3" spans="2:7" ht="34.5" customHeight="1" x14ac:dyDescent="0.25">
      <c r="B3" s="2" t="s">
        <v>0</v>
      </c>
      <c r="C3" s="2" t="s">
        <v>1</v>
      </c>
      <c r="D3" s="2" t="s">
        <v>2</v>
      </c>
      <c r="E3" s="2" t="s">
        <v>3</v>
      </c>
      <c r="F3" s="3" t="s">
        <v>7</v>
      </c>
      <c r="G3" s="3" t="s">
        <v>8</v>
      </c>
    </row>
    <row r="4" spans="2:7" x14ac:dyDescent="0.25">
      <c r="B4" s="2">
        <v>1</v>
      </c>
      <c r="C4" s="4" t="s">
        <v>5</v>
      </c>
      <c r="D4" s="4">
        <v>35</v>
      </c>
      <c r="E4" s="4">
        <v>12</v>
      </c>
      <c r="F4" s="4">
        <v>25</v>
      </c>
      <c r="G4" s="4">
        <v>19</v>
      </c>
    </row>
    <row r="5" spans="2:7" x14ac:dyDescent="0.25">
      <c r="B5" s="2">
        <v>2</v>
      </c>
      <c r="C5" s="4" t="s">
        <v>6</v>
      </c>
      <c r="D5" s="4">
        <v>21</v>
      </c>
      <c r="E5" s="4">
        <v>15</v>
      </c>
      <c r="F5" s="4">
        <v>41</v>
      </c>
      <c r="G5" s="4">
        <v>30</v>
      </c>
    </row>
    <row r="6" spans="2:7" x14ac:dyDescent="0.25">
      <c r="B6" s="2">
        <v>3</v>
      </c>
      <c r="C6" s="4" t="s">
        <v>4</v>
      </c>
      <c r="D6" s="4">
        <v>15</v>
      </c>
      <c r="E6" s="4">
        <v>14</v>
      </c>
      <c r="F6" s="4">
        <v>44</v>
      </c>
      <c r="G6" s="4">
        <v>34</v>
      </c>
    </row>
    <row r="8" spans="2:7" x14ac:dyDescent="0.25">
      <c r="B8" s="2" t="s">
        <v>0</v>
      </c>
      <c r="C8" s="2" t="s">
        <v>9</v>
      </c>
      <c r="D8" s="2" t="s">
        <v>10</v>
      </c>
      <c r="E8" s="2" t="s">
        <v>11</v>
      </c>
    </row>
    <row r="9" spans="2:7" x14ac:dyDescent="0.25">
      <c r="B9" s="2">
        <v>1</v>
      </c>
      <c r="C9" s="4">
        <f>F4-E4</f>
        <v>13</v>
      </c>
      <c r="D9" s="4">
        <f>G4-E4</f>
        <v>7</v>
      </c>
      <c r="E9" s="4">
        <f>(C9/D9)*100</f>
        <v>185.71428571428572</v>
      </c>
    </row>
    <row r="10" spans="2:7" x14ac:dyDescent="0.25">
      <c r="B10" s="2">
        <v>2</v>
      </c>
      <c r="C10" s="4">
        <f t="shared" ref="C10:C11" si="0">F5-E5</f>
        <v>26</v>
      </c>
      <c r="D10" s="4">
        <f t="shared" ref="D10:D11" si="1">G5-E5</f>
        <v>15</v>
      </c>
      <c r="E10" s="4">
        <f t="shared" ref="E10:E11" si="2">(C10/D10)*100</f>
        <v>173.33333333333334</v>
      </c>
      <c r="F10" s="1"/>
    </row>
    <row r="11" spans="2:7" x14ac:dyDescent="0.25">
      <c r="B11" s="2">
        <v>3</v>
      </c>
      <c r="C11" s="4">
        <f t="shared" si="0"/>
        <v>30</v>
      </c>
      <c r="D11" s="4">
        <f t="shared" si="1"/>
        <v>20</v>
      </c>
      <c r="E11" s="4">
        <f t="shared" si="2"/>
        <v>150</v>
      </c>
      <c r="F11" s="1"/>
    </row>
    <row r="12" spans="2:7" x14ac:dyDescent="0.25">
      <c r="B12" s="1"/>
      <c r="C12" s="1"/>
      <c r="D12" s="2" t="s">
        <v>12</v>
      </c>
      <c r="E12" s="4">
        <f>(SUM(E9:E11))/3</f>
        <v>169.68253968253967</v>
      </c>
      <c r="F12" s="1"/>
    </row>
    <row r="13" spans="2:7" x14ac:dyDescent="0.25">
      <c r="B13" s="1"/>
      <c r="C13" s="1"/>
      <c r="D13" s="1"/>
      <c r="E13" s="1"/>
      <c r="F13" s="1"/>
    </row>
    <row r="14" spans="2:7" ht="30" x14ac:dyDescent="0.25">
      <c r="B14" s="2" t="s">
        <v>0</v>
      </c>
      <c r="C14" s="2" t="s">
        <v>3</v>
      </c>
      <c r="D14" s="3" t="s">
        <v>7</v>
      </c>
      <c r="E14" s="3" t="s">
        <v>8</v>
      </c>
      <c r="F14" s="1"/>
    </row>
    <row r="15" spans="2:7" x14ac:dyDescent="0.25">
      <c r="B15" s="2">
        <v>1</v>
      </c>
      <c r="C15" s="4">
        <v>13</v>
      </c>
      <c r="D15" s="4">
        <v>14.5</v>
      </c>
      <c r="E15" s="4">
        <v>14.04</v>
      </c>
      <c r="F15" s="1"/>
    </row>
    <row r="16" spans="2:7" x14ac:dyDescent="0.25">
      <c r="B16" s="2">
        <v>2</v>
      </c>
      <c r="C16" s="4">
        <v>14</v>
      </c>
      <c r="D16" s="4">
        <v>16.100000000000001</v>
      </c>
      <c r="E16" s="4">
        <v>15.6</v>
      </c>
      <c r="F16" s="1"/>
    </row>
    <row r="17" spans="2:6" x14ac:dyDescent="0.25">
      <c r="B17" s="2">
        <v>3</v>
      </c>
      <c r="C17" s="4">
        <v>14</v>
      </c>
      <c r="D17" s="4">
        <v>15.2</v>
      </c>
      <c r="E17" s="4">
        <v>15</v>
      </c>
      <c r="F17" s="1"/>
    </row>
    <row r="18" spans="2:6" x14ac:dyDescent="0.25">
      <c r="B18" s="1"/>
      <c r="C18" s="1"/>
      <c r="D18" s="1"/>
      <c r="E18" s="1"/>
      <c r="F18" s="1"/>
    </row>
    <row r="19" spans="2:6" x14ac:dyDescent="0.25">
      <c r="B19" s="2" t="s">
        <v>0</v>
      </c>
      <c r="C19" s="2" t="s">
        <v>9</v>
      </c>
      <c r="D19" s="2" t="s">
        <v>10</v>
      </c>
      <c r="E19" s="2" t="s">
        <v>11</v>
      </c>
      <c r="F19" s="1"/>
    </row>
    <row r="20" spans="2:6" x14ac:dyDescent="0.25">
      <c r="B20" s="2">
        <v>1</v>
      </c>
      <c r="C20" s="4">
        <f>D15-C15</f>
        <v>1.5</v>
      </c>
      <c r="D20" s="4">
        <f>E15-C15</f>
        <v>1.0399999999999991</v>
      </c>
      <c r="E20" s="4">
        <f>(C20/D20)*100</f>
        <v>144.23076923076934</v>
      </c>
      <c r="F20" s="1"/>
    </row>
    <row r="21" spans="2:6" x14ac:dyDescent="0.25">
      <c r="B21" s="2">
        <v>2</v>
      </c>
      <c r="C21" s="4">
        <f t="shared" ref="C21:C22" si="3">D16-C16</f>
        <v>2.1000000000000014</v>
      </c>
      <c r="D21" s="4">
        <f t="shared" ref="D21:D22" si="4">E16-C16</f>
        <v>1.5999999999999996</v>
      </c>
      <c r="E21" s="4">
        <f t="shared" ref="E21:E22" si="5">(C21/D21)*100</f>
        <v>131.25000000000011</v>
      </c>
      <c r="F21" s="1"/>
    </row>
    <row r="22" spans="2:6" x14ac:dyDescent="0.25">
      <c r="B22" s="2">
        <v>3</v>
      </c>
      <c r="C22" s="4">
        <f t="shared" si="3"/>
        <v>1.1999999999999993</v>
      </c>
      <c r="D22" s="4">
        <f t="shared" si="4"/>
        <v>1</v>
      </c>
      <c r="E22" s="4">
        <f t="shared" si="5"/>
        <v>119.99999999999993</v>
      </c>
      <c r="F22" s="1"/>
    </row>
    <row r="23" spans="2:6" x14ac:dyDescent="0.25">
      <c r="B23" s="1"/>
      <c r="C23" s="1"/>
      <c r="D23" s="2" t="s">
        <v>12</v>
      </c>
      <c r="E23" s="4">
        <f>(SUM(E20:E22))/3</f>
        <v>131.82692307692312</v>
      </c>
      <c r="F23" s="1"/>
    </row>
    <row r="24" spans="2:6" x14ac:dyDescent="0.25">
      <c r="B24" s="1"/>
      <c r="C24" s="1"/>
      <c r="D24" s="1"/>
      <c r="E24" s="1"/>
      <c r="F24" s="1"/>
    </row>
    <row r="25" spans="2:6" x14ac:dyDescent="0.25">
      <c r="B25" s="2" t="s">
        <v>13</v>
      </c>
      <c r="C25" s="4">
        <f>E12</f>
        <v>169.68253968253967</v>
      </c>
      <c r="D25" s="1"/>
      <c r="E25" s="1"/>
      <c r="F25" s="1"/>
    </row>
    <row r="26" spans="2:6" x14ac:dyDescent="0.25">
      <c r="B26" s="2" t="s">
        <v>14</v>
      </c>
      <c r="C26" s="4">
        <f>E23</f>
        <v>131.82692307692312</v>
      </c>
      <c r="D26" s="1"/>
      <c r="E26" s="1"/>
      <c r="F26" s="1"/>
    </row>
    <row r="27" spans="2:6" x14ac:dyDescent="0.25">
      <c r="B27" s="2" t="s">
        <v>15</v>
      </c>
      <c r="C27" s="4">
        <f>C25-C26</f>
        <v>37.855616605616547</v>
      </c>
      <c r="D27" s="1"/>
      <c r="E27" s="1"/>
      <c r="F27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Alejandro Casta�eda Cardona</dc:creator>
  <cp:lastModifiedBy>Daniel Alejandro Casta�eda Cardona</cp:lastModifiedBy>
  <dcterms:created xsi:type="dcterms:W3CDTF">2025-10-26T22:53:08Z</dcterms:created>
  <dcterms:modified xsi:type="dcterms:W3CDTF">2025-10-26T23:55:47Z</dcterms:modified>
</cp:coreProperties>
</file>